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jo\Desktop\clubs\soar\irec_27\controls_eecs\IREC_26-27_Controls\"/>
    </mc:Choice>
  </mc:AlternateContent>
  <xr:revisionPtr revIDLastSave="0" documentId="13_ncr:1_{D1A6356C-3C7C-4424-9938-772D6081D2A0}" xr6:coauthVersionLast="47" xr6:coauthVersionMax="47" xr10:uidLastSave="{00000000-0000-0000-0000-000000000000}"/>
  <bookViews>
    <workbookView xWindow="-23148" yWindow="-108" windowWidth="23256" windowHeight="13176" xr2:uid="{3850124B-4C10-4519-AB6D-3AC4B4A0B5D5}"/>
  </bookViews>
  <sheets>
    <sheet name="Environment" sheetId="2" r:id="rId1"/>
    <sheet name="Solid Motor" sheetId="1" r:id="rId2"/>
    <sheet name="Rocket" sheetId="3" r:id="rId3"/>
    <sheet name="Nosecone" sheetId="4" r:id="rId4"/>
    <sheet name="Trapezoidal Fins" sheetId="5" r:id="rId5"/>
    <sheet name="Tail" sheetId="6" r:id="rId6"/>
    <sheet name="Rail Butt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6" i="1"/>
  <c r="B7" i="1"/>
  <c r="B3" i="1"/>
  <c r="G2" i="1"/>
  <c r="B9" i="1"/>
  <c r="B10" i="1"/>
  <c r="B11" i="1"/>
  <c r="B12" i="1"/>
  <c r="B6" i="5"/>
  <c r="B2" i="3"/>
  <c r="B18" i="1"/>
  <c r="B15" i="1"/>
  <c r="B14" i="1"/>
</calcChain>
</file>

<file path=xl/sharedStrings.xml><?xml version="1.0" encoding="utf-8"?>
<sst xmlns="http://schemas.openxmlformats.org/spreadsheetml/2006/main" count="128" uniqueCount="78">
  <si>
    <t>Variable</t>
  </si>
  <si>
    <t>Set</t>
  </si>
  <si>
    <t>Min</t>
  </si>
  <si>
    <t>Max</t>
  </si>
  <si>
    <t>Step</t>
  </si>
  <si>
    <t>thrust_source</t>
  </si>
  <si>
    <t>nozzle_radius</t>
  </si>
  <si>
    <t>grain_number</t>
  </si>
  <si>
    <t>grain_density</t>
  </si>
  <si>
    <t>grain_outer_radius</t>
  </si>
  <si>
    <t>grain_initial_inner_radius</t>
  </si>
  <si>
    <t>grain_initial_height</t>
  </si>
  <si>
    <t>grain_separation</t>
  </si>
  <si>
    <t>grains_center_of_mass_position</t>
  </si>
  <si>
    <t>center_of_dry_mass_position</t>
  </si>
  <si>
    <t>nozzle_position</t>
  </si>
  <si>
    <t>burn_time</t>
  </si>
  <si>
    <t>throat_radius</t>
  </si>
  <si>
    <t>coordinate_system_orientation</t>
  </si>
  <si>
    <t>dry_inertia_i11</t>
  </si>
  <si>
    <t>dry_inertia_i33</t>
  </si>
  <si>
    <t>dry_inertia_i22</t>
  </si>
  <si>
    <t>radius</t>
  </si>
  <si>
    <t>mass</t>
  </si>
  <si>
    <t>inertia</t>
  </si>
  <si>
    <t>power_off_drag</t>
  </si>
  <si>
    <t>power_on_drag</t>
  </si>
  <si>
    <t>center_of_mass_without_motor</t>
  </si>
  <si>
    <t>Notes</t>
  </si>
  <si>
    <t>tuple</t>
  </si>
  <si>
    <t>kg</t>
  </si>
  <si>
    <t>length</t>
  </si>
  <si>
    <t>position</t>
  </si>
  <si>
    <t>kind</t>
  </si>
  <si>
    <t>bluffness</t>
  </si>
  <si>
    <t>ogive</t>
  </si>
  <si>
    <t>n</t>
  </si>
  <si>
    <t>root_chord</t>
  </si>
  <si>
    <t>tip_chord</t>
  </si>
  <si>
    <t>span</t>
  </si>
  <si>
    <t>rocket_radius</t>
  </si>
  <si>
    <t>sweep_length</t>
  </si>
  <si>
    <t>sweep_angle</t>
  </si>
  <si>
    <t>airfoil</t>
  </si>
  <si>
    <t>base_radius</t>
  </si>
  <si>
    <t>power</t>
  </si>
  <si>
    <t>name</t>
  </si>
  <si>
    <t>needed for ogive</t>
  </si>
  <si>
    <t>optional/no impact</t>
  </si>
  <si>
    <t>optional</t>
  </si>
  <si>
    <t>dry_mass</t>
  </si>
  <si>
    <t>reshape_thrust_curve</t>
  </si>
  <si>
    <t>no idea</t>
  </si>
  <si>
    <t>interpolation_method</t>
  </si>
  <si>
    <t>reference_pressure</t>
  </si>
  <si>
    <t>only_radial_burn</t>
  </si>
  <si>
    <t>top_radius</t>
  </si>
  <si>
    <t>bottom_radius</t>
  </si>
  <si>
    <t>upper_button_position</t>
  </si>
  <si>
    <t>lower_button_position</t>
  </si>
  <si>
    <t>angular_position</t>
  </si>
  <si>
    <t>motor_radius</t>
  </si>
  <si>
    <t>diameter98mm</t>
  </si>
  <si>
    <t>Supprt Vars</t>
  </si>
  <si>
    <t>Value</t>
  </si>
  <si>
    <t>Column1</t>
  </si>
  <si>
    <t>nozzle_to_combustion_chamber</t>
  </si>
  <si>
    <t>AeroTech_M1939W.eng</t>
  </si>
  <si>
    <t>year</t>
  </si>
  <si>
    <t>month</t>
  </si>
  <si>
    <t>day</t>
  </si>
  <si>
    <t>hour</t>
  </si>
  <si>
    <t>latitude</t>
  </si>
  <si>
    <t>longitude</t>
  </si>
  <si>
    <t>elevation</t>
  </si>
  <si>
    <t>standard_atmosphere</t>
  </si>
  <si>
    <t>tail_to_nose</t>
  </si>
  <si>
    <t>atmospheric_model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</si>
</sst>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99667B-1921-474E-B0A2-56EDAD39ED1B}" name="Table1" displayName="Table1" ref="A1:D23" totalsRowShown="0">
  <autoFilter ref="A1:D23" xr:uid="{6299667B-1921-474E-B0A2-56EDAD39ED1B}"/>
  <tableColumns count="4">
    <tableColumn id="1" xr3:uid="{DF57E6C4-8BD4-41F9-B65D-B0A3EFA0455B}" name="Variable"/>
    <tableColumn id="2" xr3:uid="{4EE4F1BB-B34D-4DB8-AB26-2281CC688B45}" name="Set"/>
    <tableColumn id="3" xr3:uid="{1CD5815B-3688-4DC4-9B7A-828E32A42543}" name="Column1"/>
    <tableColumn id="4" xr3:uid="{9CF19FE7-F57C-4590-8616-EB2FE2A6693C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8883-570E-48D5-9EA0-8E8B677054BE}">
  <dimension ref="A1:B9"/>
  <sheetViews>
    <sheetView tabSelected="1" workbookViewId="0">
      <selection activeCell="A9" sqref="A9"/>
    </sheetView>
  </sheetViews>
  <sheetFormatPr defaultRowHeight="15" x14ac:dyDescent="0.25"/>
  <cols>
    <col min="1" max="1" width="18.42578125" bestFit="1" customWidth="1"/>
    <col min="2" max="2" width="2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68</v>
      </c>
      <c r="B2">
        <v>2027</v>
      </c>
    </row>
    <row r="3" spans="1:2" x14ac:dyDescent="0.25">
      <c r="A3" t="s">
        <v>69</v>
      </c>
      <c r="B3">
        <v>6</v>
      </c>
    </row>
    <row r="4" spans="1:2" x14ac:dyDescent="0.25">
      <c r="A4" t="s">
        <v>70</v>
      </c>
      <c r="B4">
        <v>17</v>
      </c>
    </row>
    <row r="5" spans="1:2" x14ac:dyDescent="0.25">
      <c r="A5" t="s">
        <v>71</v>
      </c>
      <c r="B5">
        <v>12</v>
      </c>
    </row>
    <row r="6" spans="1:2" x14ac:dyDescent="0.25">
      <c r="A6" t="s">
        <v>72</v>
      </c>
      <c r="B6">
        <v>0</v>
      </c>
    </row>
    <row r="7" spans="1:2" x14ac:dyDescent="0.25">
      <c r="A7" t="s">
        <v>73</v>
      </c>
      <c r="B7">
        <v>0</v>
      </c>
    </row>
    <row r="8" spans="1:2" x14ac:dyDescent="0.25">
      <c r="A8" t="s">
        <v>74</v>
      </c>
      <c r="B8">
        <v>0</v>
      </c>
    </row>
    <row r="9" spans="1:2" x14ac:dyDescent="0.25">
      <c r="A9" t="s">
        <v>77</v>
      </c>
      <c r="B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EB66-A072-414B-B1B5-A2EF0AE3FFBA}">
  <dimension ref="A1:I23"/>
  <sheetViews>
    <sheetView zoomScaleNormal="100" workbookViewId="0">
      <selection activeCell="F6" sqref="F6"/>
    </sheetView>
  </sheetViews>
  <sheetFormatPr defaultRowHeight="15" x14ac:dyDescent="0.25"/>
  <cols>
    <col min="1" max="1" width="26.85546875" bestFit="1" customWidth="1"/>
    <col min="2" max="2" width="28.28515625" bestFit="1" customWidth="1"/>
    <col min="3" max="3" width="12" bestFit="1" customWidth="1"/>
    <col min="4" max="4" width="14.42578125" bestFit="1" customWidth="1"/>
    <col min="6" max="6" width="12.85546875" bestFit="1" customWidth="1"/>
    <col min="7" max="7" width="12.42578125" bestFit="1" customWidth="1"/>
    <col min="9" max="9" width="14.42578125" bestFit="1" customWidth="1"/>
  </cols>
  <sheetData>
    <row r="1" spans="1:9" x14ac:dyDescent="0.25">
      <c r="A1" t="s">
        <v>0</v>
      </c>
      <c r="B1" t="s">
        <v>1</v>
      </c>
      <c r="C1" t="s">
        <v>65</v>
      </c>
      <c r="D1" t="s">
        <v>28</v>
      </c>
      <c r="F1" t="s">
        <v>63</v>
      </c>
      <c r="G1" t="s">
        <v>64</v>
      </c>
    </row>
    <row r="2" spans="1:9" ht="18" customHeight="1" x14ac:dyDescent="0.25">
      <c r="A2" t="s">
        <v>5</v>
      </c>
      <c r="B2" t="s">
        <v>67</v>
      </c>
      <c r="F2" t="s">
        <v>61</v>
      </c>
      <c r="G2">
        <f>98/2/25.4</f>
        <v>1.9291338582677167</v>
      </c>
      <c r="I2" t="s">
        <v>62</v>
      </c>
    </row>
    <row r="3" spans="1:9" ht="18" customHeight="1" x14ac:dyDescent="0.25">
      <c r="A3" t="s">
        <v>6</v>
      </c>
      <c r="B3">
        <f>(1.75/2) / 39.37</f>
        <v>2.2225044450088903E-2</v>
      </c>
    </row>
    <row r="4" spans="1:9" x14ac:dyDescent="0.25">
      <c r="A4" t="s">
        <v>50</v>
      </c>
      <c r="B4">
        <v>3.2690000000000001</v>
      </c>
    </row>
    <row r="5" spans="1:9" x14ac:dyDescent="0.25">
      <c r="A5" t="s">
        <v>19</v>
      </c>
      <c r="B5">
        <f>(1/12)*B4*(3*((G2*2)+POWER(0.732,2)))</f>
        <v>3.5910714553385823</v>
      </c>
      <c r="D5" t="s">
        <v>29</v>
      </c>
    </row>
    <row r="6" spans="1:9" x14ac:dyDescent="0.25">
      <c r="A6" t="s">
        <v>21</v>
      </c>
      <c r="B6">
        <f>(1/12)*B4*(3*((G2)*2)+POWER(0.732,2))</f>
        <v>3.2991366793385826</v>
      </c>
    </row>
    <row r="7" spans="1:9" x14ac:dyDescent="0.25">
      <c r="A7" t="s">
        <v>20</v>
      </c>
      <c r="B7">
        <f>0.5*B4*POWER((G2),2)</f>
        <v>6.0828856407712824</v>
      </c>
    </row>
    <row r="8" spans="1:9" x14ac:dyDescent="0.25">
      <c r="A8" t="s">
        <v>7</v>
      </c>
      <c r="B8">
        <v>4</v>
      </c>
    </row>
    <row r="9" spans="1:9" x14ac:dyDescent="0.25">
      <c r="A9" t="s">
        <v>8</v>
      </c>
      <c r="B9">
        <f>0.06576*27679.90471</f>
        <v>1820.2305337296</v>
      </c>
    </row>
    <row r="10" spans="1:9" x14ac:dyDescent="0.25">
      <c r="A10" t="s">
        <v>9</v>
      </c>
      <c r="B10">
        <f>3.365/2/39.37</f>
        <v>4.2735585471170949E-2</v>
      </c>
    </row>
    <row r="11" spans="1:9" x14ac:dyDescent="0.25">
      <c r="A11" t="s">
        <v>10</v>
      </c>
      <c r="B11">
        <f>1.125/2/39.37</f>
        <v>1.428752857505715E-2</v>
      </c>
    </row>
    <row r="12" spans="1:9" x14ac:dyDescent="0.25">
      <c r="A12" t="s">
        <v>11</v>
      </c>
      <c r="B12">
        <f>6/2/39.37</f>
        <v>7.620015240030481E-2</v>
      </c>
    </row>
    <row r="13" spans="1:9" x14ac:dyDescent="0.25">
      <c r="A13" t="s">
        <v>12</v>
      </c>
      <c r="B13">
        <v>0</v>
      </c>
    </row>
    <row r="14" spans="1:9" x14ac:dyDescent="0.25">
      <c r="A14" t="s">
        <v>13</v>
      </c>
      <c r="B14">
        <f>6/2/39.37/2</f>
        <v>3.8100076200152405E-2</v>
      </c>
      <c r="D14" t="s">
        <v>52</v>
      </c>
    </row>
    <row r="15" spans="1:9" x14ac:dyDescent="0.25">
      <c r="A15" t="s">
        <v>14</v>
      </c>
      <c r="B15">
        <f>0.732/2</f>
        <v>0.36599999999999999</v>
      </c>
      <c r="D15" t="s">
        <v>52</v>
      </c>
    </row>
    <row r="16" spans="1:9" x14ac:dyDescent="0.25">
      <c r="A16" t="s">
        <v>15</v>
      </c>
      <c r="B16">
        <v>0</v>
      </c>
      <c r="D16" t="s">
        <v>49</v>
      </c>
    </row>
    <row r="17" spans="1:4" x14ac:dyDescent="0.25">
      <c r="A17" t="s">
        <v>16</v>
      </c>
      <c r="B17">
        <v>6.2</v>
      </c>
    </row>
    <row r="18" spans="1:4" x14ac:dyDescent="0.25">
      <c r="A18" t="s">
        <v>17</v>
      </c>
      <c r="B18">
        <f>0.734/2/39.37</f>
        <v>9.3218186436372884E-3</v>
      </c>
      <c r="D18" t="s">
        <v>49</v>
      </c>
    </row>
    <row r="19" spans="1:4" x14ac:dyDescent="0.25">
      <c r="A19" t="s">
        <v>51</v>
      </c>
      <c r="B19">
        <v>212</v>
      </c>
      <c r="D19" t="s">
        <v>49</v>
      </c>
    </row>
    <row r="20" spans="1:4" x14ac:dyDescent="0.25">
      <c r="A20" t="s">
        <v>53</v>
      </c>
      <c r="B20">
        <v>21</v>
      </c>
      <c r="D20" t="s">
        <v>49</v>
      </c>
    </row>
    <row r="21" spans="1:4" x14ac:dyDescent="0.25">
      <c r="A21" t="s">
        <v>18</v>
      </c>
      <c r="B21" t="s">
        <v>66</v>
      </c>
      <c r="D21" t="s">
        <v>49</v>
      </c>
    </row>
    <row r="22" spans="1:4" x14ac:dyDescent="0.25">
      <c r="A22" t="s">
        <v>54</v>
      </c>
      <c r="B22">
        <v>21</v>
      </c>
      <c r="D22" t="s">
        <v>49</v>
      </c>
    </row>
    <row r="23" spans="1:4" x14ac:dyDescent="0.25">
      <c r="A23" t="s">
        <v>55</v>
      </c>
      <c r="B23">
        <v>21</v>
      </c>
      <c r="D23" t="s">
        <v>49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6F10-F7E4-4FF9-9DF9-CA245AB9C3B3}">
  <dimension ref="A1:G8"/>
  <sheetViews>
    <sheetView workbookViewId="0">
      <selection activeCell="D10" sqref="D10"/>
    </sheetView>
  </sheetViews>
  <sheetFormatPr defaultRowHeight="15" x14ac:dyDescent="0.25"/>
  <cols>
    <col min="1" max="1" width="26.28515625" bestFit="1" customWidth="1"/>
    <col min="2" max="2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5">
      <c r="A2" t="s">
        <v>22</v>
      </c>
      <c r="B2">
        <f>6.17/2/39.37</f>
        <v>7.8359156718313436E-2</v>
      </c>
    </row>
    <row r="3" spans="1:7" x14ac:dyDescent="0.25">
      <c r="A3" t="s">
        <v>23</v>
      </c>
      <c r="C3">
        <v>20</v>
      </c>
      <c r="D3">
        <v>35</v>
      </c>
      <c r="E3">
        <v>1</v>
      </c>
      <c r="G3" t="s">
        <v>30</v>
      </c>
    </row>
    <row r="4" spans="1:7" x14ac:dyDescent="0.25">
      <c r="A4" t="s">
        <v>24</v>
      </c>
      <c r="G4" t="s">
        <v>29</v>
      </c>
    </row>
    <row r="5" spans="1:7" x14ac:dyDescent="0.25">
      <c r="A5" t="s">
        <v>25</v>
      </c>
    </row>
    <row r="6" spans="1:7" x14ac:dyDescent="0.25">
      <c r="A6" t="s">
        <v>26</v>
      </c>
    </row>
    <row r="7" spans="1:7" x14ac:dyDescent="0.25">
      <c r="A7" t="s">
        <v>27</v>
      </c>
    </row>
    <row r="8" spans="1:7" x14ac:dyDescent="0.25">
      <c r="A8" t="s">
        <v>18</v>
      </c>
      <c r="B8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D93E-62F8-4675-8413-8C8F2B28BDDF}">
  <dimension ref="A1:G8"/>
  <sheetViews>
    <sheetView workbookViewId="0">
      <selection activeCell="A8" sqref="A8"/>
    </sheetView>
  </sheetViews>
  <sheetFormatPr defaultRowHeight="15" x14ac:dyDescent="0.25"/>
  <cols>
    <col min="1" max="1" width="11.85546875" bestFit="1" customWidth="1"/>
    <col min="2" max="5" width="11" customWidth="1"/>
    <col min="7" max="7" width="1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5">
      <c r="A2" t="s">
        <v>31</v>
      </c>
    </row>
    <row r="3" spans="1:7" x14ac:dyDescent="0.25">
      <c r="A3" t="s">
        <v>33</v>
      </c>
      <c r="B3" t="s">
        <v>35</v>
      </c>
    </row>
    <row r="4" spans="1:7" x14ac:dyDescent="0.25">
      <c r="A4" t="s">
        <v>44</v>
      </c>
      <c r="G4" t="s">
        <v>49</v>
      </c>
    </row>
    <row r="5" spans="1:7" x14ac:dyDescent="0.25">
      <c r="A5" t="s">
        <v>34</v>
      </c>
      <c r="G5" t="s">
        <v>47</v>
      </c>
    </row>
    <row r="6" spans="1:7" x14ac:dyDescent="0.25">
      <c r="A6" t="s">
        <v>40</v>
      </c>
      <c r="G6" t="s">
        <v>49</v>
      </c>
    </row>
    <row r="7" spans="1:7" x14ac:dyDescent="0.25">
      <c r="A7" t="s">
        <v>45</v>
      </c>
      <c r="G7" t="s">
        <v>49</v>
      </c>
    </row>
    <row r="8" spans="1:7" x14ac:dyDescent="0.25">
      <c r="A8" t="s">
        <v>46</v>
      </c>
      <c r="G8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A8B0-88A8-433F-A0FC-EB53EF89F6DB}">
  <dimension ref="A1:G9"/>
  <sheetViews>
    <sheetView workbookViewId="0">
      <selection activeCell="G9" sqref="G9"/>
    </sheetView>
  </sheetViews>
  <sheetFormatPr defaultRowHeight="15" x14ac:dyDescent="0.25"/>
  <cols>
    <col min="1" max="1" width="1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5">
      <c r="A2" t="s">
        <v>36</v>
      </c>
      <c r="B2">
        <v>4</v>
      </c>
    </row>
    <row r="3" spans="1:7" x14ac:dyDescent="0.25">
      <c r="A3" t="s">
        <v>37</v>
      </c>
    </row>
    <row r="4" spans="1:7" x14ac:dyDescent="0.25">
      <c r="A4" t="s">
        <v>38</v>
      </c>
    </row>
    <row r="5" spans="1:7" x14ac:dyDescent="0.25">
      <c r="A5" t="s">
        <v>39</v>
      </c>
    </row>
    <row r="6" spans="1:7" x14ac:dyDescent="0.25">
      <c r="A6" t="s">
        <v>40</v>
      </c>
      <c r="B6">
        <f>6.17/2/39.37</f>
        <v>7.8359156718313436E-2</v>
      </c>
    </row>
    <row r="7" spans="1:7" x14ac:dyDescent="0.25">
      <c r="A7" t="s">
        <v>41</v>
      </c>
      <c r="G7" t="s">
        <v>49</v>
      </c>
    </row>
    <row r="8" spans="1:7" x14ac:dyDescent="0.25">
      <c r="A8" t="s">
        <v>42</v>
      </c>
      <c r="G8" t="s">
        <v>49</v>
      </c>
    </row>
    <row r="9" spans="1:7" x14ac:dyDescent="0.25">
      <c r="A9" t="s">
        <v>43</v>
      </c>
      <c r="G9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A439-E62A-4D19-BE31-DD01D82FC1DB}">
  <dimension ref="A1:G7"/>
  <sheetViews>
    <sheetView workbookViewId="0">
      <selection activeCell="G8" sqref="G8"/>
    </sheetView>
  </sheetViews>
  <sheetFormatPr defaultRowHeight="15" x14ac:dyDescent="0.25"/>
  <cols>
    <col min="1" max="1" width="1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5">
      <c r="A2" t="s">
        <v>56</v>
      </c>
    </row>
    <row r="3" spans="1:7" x14ac:dyDescent="0.25">
      <c r="A3" t="s">
        <v>57</v>
      </c>
    </row>
    <row r="4" spans="1:7" x14ac:dyDescent="0.25">
      <c r="A4" t="s">
        <v>31</v>
      </c>
    </row>
    <row r="5" spans="1:7" x14ac:dyDescent="0.25">
      <c r="A5" t="s">
        <v>32</v>
      </c>
    </row>
    <row r="6" spans="1:7" x14ac:dyDescent="0.25">
      <c r="A6" t="s">
        <v>22</v>
      </c>
    </row>
    <row r="7" spans="1:7" x14ac:dyDescent="0.25">
      <c r="A7" t="s">
        <v>46</v>
      </c>
      <c r="G7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BE1E-2C0B-4286-A3FB-3C7826FF8F5E}">
  <dimension ref="A1:G5"/>
  <sheetViews>
    <sheetView workbookViewId="0">
      <selection activeCell="A6" sqref="A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</v>
      </c>
    </row>
    <row r="2" spans="1:7" x14ac:dyDescent="0.25">
      <c r="A2" t="s">
        <v>58</v>
      </c>
    </row>
    <row r="3" spans="1:7" x14ac:dyDescent="0.25">
      <c r="A3" t="s">
        <v>59</v>
      </c>
    </row>
    <row r="4" spans="1:7" x14ac:dyDescent="0.25">
      <c r="A4" t="s">
        <v>60</v>
      </c>
    </row>
    <row r="5" spans="1:7" x14ac:dyDescent="0.25">
      <c r="A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Environment</vt:lpstr>
      <vt:lpstr>Solid Motor</vt:lpstr>
      <vt:lpstr>Rocket</vt:lpstr>
      <vt:lpstr>Nosecone</vt:lpstr>
      <vt:lpstr>Trapezoidal Fins</vt:lpstr>
      <vt:lpstr>Tail</vt:lpstr>
      <vt:lpstr>Rail 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Fernandez</dc:creator>
  <cp:lastModifiedBy>Leo Fernandez</cp:lastModifiedBy>
  <dcterms:created xsi:type="dcterms:W3CDTF">2026-09-30T20:59:48Z</dcterms:created>
  <dcterms:modified xsi:type="dcterms:W3CDTF">2026-10-12T07:56:34Z</dcterms:modified>
</cp:coreProperties>
</file>